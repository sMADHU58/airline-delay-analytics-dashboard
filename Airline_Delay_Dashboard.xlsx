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b710962ae225d34/Desktop/"/>
    </mc:Choice>
  </mc:AlternateContent>
  <xr:revisionPtr revIDLastSave="0" documentId="8_{575515D4-96A2-4E31-9DD6-5ED2525FCE92}" xr6:coauthVersionLast="47" xr6:coauthVersionMax="47" xr10:uidLastSave="{00000000-0000-0000-0000-000000000000}"/>
  <bookViews>
    <workbookView xWindow="-108" yWindow="-108" windowWidth="23256" windowHeight="12456" activeTab="1" xr2:uid="{90B37BCF-3F73-4C96-881F-647377506B56}"/>
  </bookViews>
  <sheets>
    <sheet name="Data_Pivots" sheetId="2" r:id="rId1"/>
    <sheet name="Dashboard" sheetId="3" r:id="rId2"/>
    <sheet name="Sheet1" sheetId="1" r:id="rId3"/>
  </sheets>
  <definedNames>
    <definedName name="Slicer_AIRLINE">#N/A</definedName>
    <definedName name="Slicer_MONTH">#N/A</definedName>
  </definedNames>
  <calcPr calcId="191029"/>
  <pivotCaches>
    <pivotCache cacheId="115" r:id="rId4"/>
    <pivotCache cacheId="118" r:id="rId5"/>
  </pivotCaches>
  <extLst>
    <ext xmlns:x14="http://schemas.microsoft.com/office/spreadsheetml/2009/9/main" uri="{876F7934-8845-4945-9796-88D515C7AA90}">
      <x14:pivotCaches>
        <pivotCache cacheId="73"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shboard_performance_b5aca52a-fa0c-4f6c-861f-99e275f35555" name="dashboard_performance" connection="Query - dashboard_performance"/>
          <x15:modelTable id="dashboard_routes_76a054c9-a001-45d0-88c2-554ae7e9d282" name="dashboard_routes" connection="Query - dashboard_rout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3" i="3" l="1"/>
  <c r="D3" i="3"/>
  <c r="B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C87E65-50E8-448F-84F8-BA840C879A93}" name="Query - dashboard_performance" description="Connection to the 'dashboard_performance' query in the workbook." type="100" refreshedVersion="8" minRefreshableVersion="5">
    <extLst>
      <ext xmlns:x15="http://schemas.microsoft.com/office/spreadsheetml/2010/11/main" uri="{DE250136-89BD-433C-8126-D09CA5730AF9}">
        <x15:connection id="c1849496-32de-46ad-9998-f25e577dca77"/>
      </ext>
    </extLst>
  </connection>
  <connection id="2" xr16:uid="{4F9B1D14-4A12-4F62-B7B9-046CEA161635}" name="Query - dashboard_routes" description="Connection to the 'dashboard_routes' query in the workbook." type="100" refreshedVersion="8" minRefreshableVersion="5">
    <extLst>
      <ext xmlns:x15="http://schemas.microsoft.com/office/spreadsheetml/2010/11/main" uri="{DE250136-89BD-433C-8126-D09CA5730AF9}">
        <x15:connection id="1593f229-1290-473d-bd81-dd7a72d42deb">
          <x15:oledbPr connection="Provider=Microsoft.Mashup.OleDb.1;Data Source=$Workbook$;Location=dashboard_routes;Extended Properties=&quot;&quot;">
            <x15:dbTables>
              <x15:dbTable name="dashboard_routes"/>
            </x15:dbTables>
          </x15:oledbPr>
        </x15:connection>
      </ext>
    </extLst>
  </connection>
  <connection id="3" xr16:uid="{33252E41-2720-4096-9BB6-D4313AF20B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<sst xmlns="http://schemas.openxmlformats.org/spreadsheetml/2006/main" count="19" uniqueCount="16">
  <si>
    <t>Row Labels</t>
  </si>
  <si>
    <t>MQ</t>
  </si>
  <si>
    <t>Grand Total</t>
  </si>
  <si>
    <t>Average of AVG_DEP_DELAY</t>
  </si>
  <si>
    <t>Friday</t>
  </si>
  <si>
    <t>Monday</t>
  </si>
  <si>
    <t>Saturday</t>
  </si>
  <si>
    <t>Sunday</t>
  </si>
  <si>
    <t>Thursday</t>
  </si>
  <si>
    <t>Tuesday</t>
  </si>
  <si>
    <t>Wednesday</t>
  </si>
  <si>
    <t>Average of DELAY_RATE_PCT</t>
  </si>
  <si>
    <t>TOTAL FLIGHTS</t>
  </si>
  <si>
    <t>Sum of TOTAL_FLIGHTS</t>
  </si>
  <si>
    <t>AVG DEPARTURE DELAY</t>
  </si>
  <si>
    <t>FLIGHTS DELAYED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</si>
</sst>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[Airline_Delay_Dashboard.xlsx]Data_Pivots!PivotTable2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Data_Pivots!$F$3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Data_Pivots!$E$4:$E$11</c:f>
              <c:strCache>
                <c:ptCount val="7"/>
                <c:pt idx="0">
                  <c:v>Monday</c:v>
                </c:pt>
                <c:pt idx="1">
                  <c:v>Tuesday</c:v>
                </c:pt>
                <c:pt idx="2">
                  <c:v>Wednesday</c:v>
                </c:pt>
                <c:pt idx="3">
                  <c:v>Thursday</c:v>
                </c:pt>
                <c:pt idx="4">
                  <c:v>Friday</c:v>
                </c:pt>
                <c:pt idx="5">
                  <c:v>Saturday</c:v>
                </c:pt>
                <c:pt idx="6">
                  <c:v>Sunday</c:v>
                </c:pt>
              </c:strCache>
            </c:strRef>
          </c:cat>
          <c:val>
            <c:numRef>
              <c:f>Data_Pivots!$F$4:$F$11</c:f>
              <c:numCache>
                <c:formatCode>0.0</c:formatCode>
                <c:ptCount val="7"/>
                <c:pt idx="0">
                  <c:v>32.391996848959295</c:v>
                </c:pt>
                <c:pt idx="1">
                  <c:v>24.533494175745467</c:v>
                </c:pt>
                <c:pt idx="2">
                  <c:v>27.955911823647295</c:v>
                </c:pt>
                <c:pt idx="3">
                  <c:v>25.679758308157101</c:v>
                </c:pt>
                <c:pt idx="4">
                  <c:v>28.037750688163587</c:v>
                </c:pt>
                <c:pt idx="5">
                  <c:v>24.587706146926536</c:v>
                </c:pt>
                <c:pt idx="6">
                  <c:v>25.840710997628722</c:v>
                </c:pt>
              </c:numCache>
            </c:numRef>
          </c:val>
          <c:smooth val="0"/>
          <c:extLst>
            <c:ext xmlns:c16="http://schemas.microsoft.com/office/drawing/2014/chart" uri="{C3380CC4-5D6E-409C-BE32-E72D297353CC}">
              <c16:uniqueId val="{00000000-02F5-4A0B-95F8-E2BCD6B4D534}"/>
            </c:ext>
          </c:extLst>
        </c:ser>
        <c:dLbls>
          <c:showLegendKey val="0"/>
          <c:showVal val="0"/>
          <c:showCatName val="0"/>
          <c:showSerName val="0"/>
          <c:showPercent val="0"/>
          <c:showBubbleSize val="0"/>
        </c:dLbls>
        <c:marker val="1"/>
        <c:smooth val="0"/>
        <c:axId val="1105171407"/>
        <c:axId val="1105169007"/>
      </c:lineChart>
      <c:catAx>
        <c:axId val="110517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69007"/>
        <c:crosses val="autoZero"/>
        <c:auto val="1"/>
        <c:lblAlgn val="ctr"/>
        <c:lblOffset val="100"/>
        <c:noMultiLvlLbl val="0"/>
      </c:catAx>
      <c:valAx>
        <c:axId val="11051690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7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[Airline_Delay_Dashboard.xlsx]Data_Pivots!PivotTable1</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Data_Pivots!$B$3</c:f>
              <c:strCache>
                <c:ptCount val="1"/>
                <c:pt idx="0">
                  <c:v>Average of AVG_DEP_DELAY</c:v>
                </c:pt>
              </c:strCache>
            </c:strRef>
          </c:tx>
          <c:spPr>
            <a:solidFill>
              <a:schemeClr val="accent1"/>
            </a:solidFill>
            <a:ln>
              <a:noFill/>
            </a:ln>
            <a:effectLst/>
          </c:spPr>
          <c:invertIfNegative val="0"/>
          <c:cat>
            <c:strRef>
              <c:f>Data_Pivots!$A$4:$A$5</c:f>
              <c:strCache>
                <c:ptCount val="1"/>
                <c:pt idx="0">
                  <c:v>MQ</c:v>
                </c:pt>
              </c:strCache>
            </c:strRef>
          </c:cat>
          <c:val>
            <c:numRef>
              <c:f>Data_Pivots!$B$4:$B$5</c:f>
              <c:numCache>
                <c:formatCode>0.0</c:formatCode>
                <c:ptCount val="1"/>
                <c:pt idx="0">
                  <c:v>16.956144128853367</c:v>
                </c:pt>
              </c:numCache>
            </c:numRef>
          </c:val>
          <c:extLst>
            <c:ext xmlns:c16="http://schemas.microsoft.com/office/drawing/2014/chart" uri="{C3380CC4-5D6E-409C-BE32-E72D297353CC}">
              <c16:uniqueId val="{00000000-70F1-4FE8-955C-28E5D73E5A9D}"/>
            </c:ext>
          </c:extLst>
        </c:ser>
        <c:ser>
          <c:idx val="1"/>
          <c:order val="1"/>
          <c:tx>
            <c:strRef>
              <c:f>Data_Pivots!$C$3</c:f>
              <c:strCache>
                <c:ptCount val="1"/>
                <c:pt idx="0">
                  <c:v>Average of DELAY_RATE_PCT</c:v>
                </c:pt>
              </c:strCache>
            </c:strRef>
          </c:tx>
          <c:spPr>
            <a:solidFill>
              <a:schemeClr val="accent2"/>
            </a:solidFill>
            <a:ln>
              <a:noFill/>
            </a:ln>
            <a:effectLst/>
          </c:spPr>
          <c:invertIfNegative val="0"/>
          <c:cat>
            <c:strRef>
              <c:f>Data_Pivots!$A$4:$A$5</c:f>
              <c:strCache>
                <c:ptCount val="1"/>
                <c:pt idx="0">
                  <c:v>MQ</c:v>
                </c:pt>
              </c:strCache>
            </c:strRef>
          </c:cat>
          <c:val>
            <c:numRef>
              <c:f>Data_Pivots!$C$4:$C$5</c:f>
              <c:numCache>
                <c:formatCode>0.0</c:formatCode>
                <c:ptCount val="1"/>
                <c:pt idx="0">
                  <c:v>27.179353101156146</c:v>
                </c:pt>
              </c:numCache>
            </c:numRef>
          </c:val>
          <c:extLst>
            <c:ext xmlns:c16="http://schemas.microsoft.com/office/drawing/2014/chart" uri="{C3380CC4-5D6E-409C-BE32-E72D297353CC}">
              <c16:uniqueId val="{00000001-70F1-4FE8-955C-28E5D73E5A9D}"/>
            </c:ext>
          </c:extLst>
        </c:ser>
        <c:ser>
          <c:idx val="2"/>
          <c:order val="2"/>
          <c:tx>
            <c:strRef>
              <c:f>Data_Pivots!$D$3</c:f>
              <c:strCache>
                <c:ptCount val="1"/>
                <c:pt idx="0">
                  <c:v>Sum of TOTAL_FLIGHTS</c:v>
                </c:pt>
              </c:strCache>
            </c:strRef>
          </c:tx>
          <c:spPr>
            <a:solidFill>
              <a:schemeClr val="accent3"/>
            </a:solidFill>
            <a:ln>
              <a:noFill/>
            </a:ln>
            <a:effectLst/>
          </c:spPr>
          <c:invertIfNegative val="0"/>
          <c:cat>
            <c:strRef>
              <c:f>Data_Pivots!$A$4:$A$5</c:f>
              <c:strCache>
                <c:ptCount val="1"/>
                <c:pt idx="0">
                  <c:v>MQ</c:v>
                </c:pt>
              </c:strCache>
            </c:strRef>
          </c:cat>
          <c:val>
            <c:numRef>
              <c:f>Data_Pivots!$D$4:$D$5</c:f>
              <c:numCache>
                <c:formatCode>General</c:formatCode>
                <c:ptCount val="1"/>
                <c:pt idx="0">
                  <c:v>31896</c:v>
                </c:pt>
              </c:numCache>
            </c:numRef>
          </c:val>
          <c:extLst>
            <c:ext xmlns:c16="http://schemas.microsoft.com/office/drawing/2014/chart" uri="{C3380CC4-5D6E-409C-BE32-E72D297353CC}">
              <c16:uniqueId val="{00000002-70F1-4FE8-955C-28E5D73E5A9D}"/>
            </c:ext>
          </c:extLst>
        </c:ser>
        <c:dLbls>
          <c:showLegendKey val="0"/>
          <c:showVal val="0"/>
          <c:showCatName val="0"/>
          <c:showSerName val="0"/>
          <c:showPercent val="0"/>
          <c:showBubbleSize val="0"/>
        </c:dLbls>
        <c:gapWidth val="182"/>
        <c:axId val="1113777311"/>
        <c:axId val="1113780671"/>
      </c:barChart>
      <c:catAx>
        <c:axId val="111377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780671"/>
        <c:crosses val="autoZero"/>
        <c:auto val="1"/>
        <c:lblAlgn val="ctr"/>
        <c:lblOffset val="100"/>
        <c:noMultiLvlLbl val="0"/>
      </c:catAx>
      <c:valAx>
        <c:axId val="111378067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77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[Airline_Delay_Dashboard.xlsx]Data_Pivots!PivotTable2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Data_Pivots!$F$3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Data_Pivots!$E$4:$E$11</c:f>
              <c:strCache>
                <c:ptCount val="7"/>
                <c:pt idx="0">
                  <c:v>Monday</c:v>
                </c:pt>
                <c:pt idx="1">
                  <c:v>Tuesday</c:v>
                </c:pt>
                <c:pt idx="2">
                  <c:v>Wednesday</c:v>
                </c:pt>
                <c:pt idx="3">
                  <c:v>Thursday</c:v>
                </c:pt>
                <c:pt idx="4">
                  <c:v>Friday</c:v>
                </c:pt>
                <c:pt idx="5">
                  <c:v>Saturday</c:v>
                </c:pt>
                <c:pt idx="6">
                  <c:v>Sunday</c:v>
                </c:pt>
              </c:strCache>
            </c:strRef>
          </c:cat>
          <c:val>
            <c:numRef>
              <c:f>Data_Pivots!$F$4:$F$11</c:f>
              <c:numCache>
                <c:formatCode>0.0</c:formatCode>
                <c:ptCount val="7"/>
                <c:pt idx="0">
                  <c:v>32.391996848959295</c:v>
                </c:pt>
                <c:pt idx="1">
                  <c:v>24.533494175745467</c:v>
                </c:pt>
                <c:pt idx="2">
                  <c:v>27.955911823647295</c:v>
                </c:pt>
                <c:pt idx="3">
                  <c:v>25.679758308157101</c:v>
                </c:pt>
                <c:pt idx="4">
                  <c:v>28.037750688163587</c:v>
                </c:pt>
                <c:pt idx="5">
                  <c:v>24.587706146926536</c:v>
                </c:pt>
                <c:pt idx="6">
                  <c:v>25.840710997628722</c:v>
                </c:pt>
              </c:numCache>
            </c:numRef>
          </c:val>
          <c:smooth val="0"/>
          <c:extLst>
            <c:ext xmlns:c16="http://schemas.microsoft.com/office/drawing/2014/chart" uri="{C3380CC4-5D6E-409C-BE32-E72D297353CC}">
              <c16:uniqueId val="{00000000-6423-4128-8EBB-3C3B809F22C5}"/>
            </c:ext>
          </c:extLst>
        </c:ser>
        <c:dLbls>
          <c:showLegendKey val="0"/>
          <c:showVal val="0"/>
          <c:showCatName val="0"/>
          <c:showSerName val="0"/>
          <c:showPercent val="0"/>
          <c:showBubbleSize val="0"/>
        </c:dLbls>
        <c:marker val="1"/>
        <c:smooth val="0"/>
        <c:axId val="1105171407"/>
        <c:axId val="1105169007"/>
      </c:lineChart>
      <c:catAx>
        <c:axId val="110517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69007"/>
        <c:crosses val="autoZero"/>
        <c:auto val="1"/>
        <c:lblAlgn val="ctr"/>
        <c:lblOffset val="100"/>
        <c:noMultiLvlLbl val="0"/>
      </c:catAx>
      <c:valAx>
        <c:axId val="11051690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7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647700</xdr:colOff>
      <xdr:row>6</xdr:row>
      <xdr:rowOff>45720</xdr:rowOff>
    </xdr:from>
    <xdr:to>
      <xdr:col>5</xdr:col>
      <xdr:colOff>1318260</xdr:colOff>
      <xdr:row>21</xdr:row>
      <xdr:rowOff>45720</xdr:rowOff>
    </xdr:to>
    <xdr:graphicFrame macro="">
      <xdr:nvGraphicFramePr>
        <xdr:cNvPr id="5" name="Chart 4">
          <a:extLst>
            <a:ext uri="{FF2B5EF4-FFF2-40B4-BE49-F238E27FC236}">
              <a16:creationId xmlns:a16="http://schemas.microsoft.com/office/drawing/2014/main" id="{033EF552-E8F7-48CD-749A-9203D7132C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1417320</xdr:colOff>
      <xdr:row>6</xdr:row>
      <xdr:rowOff>0</xdr:rowOff>
    </xdr:from>
    <xdr:to>
      <xdr:col>2</xdr:col>
      <xdr:colOff>2796540</xdr:colOff>
      <xdr:row>21</xdr:row>
      <xdr:rowOff>0</xdr:rowOff>
    </xdr:to>
    <xdr:graphicFrame macro="">
      <xdr:nvGraphicFramePr>
        <xdr:cNvPr id="12" name="Chart 11">
          <a:extLst>
            <a:ext uri="{FF2B5EF4-FFF2-40B4-BE49-F238E27FC236}">
              <a16:creationId xmlns:a16="http://schemas.microsoft.com/office/drawing/2014/main" id="{07E99D43-DE82-4886-98F3-8BB3AE739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2026920</xdr:colOff>
      <xdr:row>6</xdr:row>
      <xdr:rowOff>0</xdr:rowOff>
    </xdr:from>
    <xdr:to>
      <xdr:col>6</xdr:col>
      <xdr:colOff>662940</xdr:colOff>
      <xdr:row>21</xdr:row>
      <xdr:rowOff>0</xdr:rowOff>
    </xdr:to>
    <xdr:graphicFrame macro="">
      <xdr:nvGraphicFramePr>
        <xdr:cNvPr id="14" name="Chart 13">
          <a:extLst>
            <a:ext uri="{FF2B5EF4-FFF2-40B4-BE49-F238E27FC236}">
              <a16:creationId xmlns:a16="http://schemas.microsoft.com/office/drawing/2014/main" id="{B827BAD4-8A3A-4286-8BE0-2FEAEE0C3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144780</xdr:rowOff>
    </xdr:from>
    <xdr:to>
      <xdr:col>1</xdr:col>
      <xdr:colOff>1219200</xdr:colOff>
      <xdr:row>20</xdr:row>
      <xdr:rowOff>165735</xdr:rowOff>
    </xdr:to>
    <mc:AlternateContent xmlns:mc="http://schemas.openxmlformats.org/markup-compatibility/2006">
      <mc:Choice xmlns:a14="http://schemas.microsoft.com/office/drawing/2010/main" Requires="a14">
        <xdr:graphicFrame macro="">
          <xdr:nvGraphicFramePr>
            <xdr:cNvPr id="15" name="AIRLINE">
              <a:extLst>
                <a:ext uri="{FF2B5EF4-FFF2-40B4-BE49-F238E27FC236}">
                  <a16:creationId xmlns:a16="http://schemas.microsoft.com/office/drawing/2014/main" id="{CC846A2C-C082-8E79-40C1-0199F7CEA11A}"/>
                </a:ext>
              </a:extLst>
            </xdr:cNvPr>
            <xdr:cNvGraphicFramePr/>
          </xdr:nvGraphicFramePr>
          <xdr:xfrm>
            <a:off x="0" y="0"/>
            <a:ext cx="0" cy="0"/>
          </xdr:xfrm>
          <a:graphic>
            <a:graphicData uri="http://schemas.microsoft.com/office/drawing/2010/slicer">
              <sle:slicer xmlns:sle="http://schemas.microsoft.com/office/drawing/2010/slicer" name="AIRLINE"/>
            </a:graphicData>
          </a:graphic>
        </xdr:graphicFrame>
      </mc:Choice>
      <mc:Fallback>
        <xdr:sp macro="" textlink="">
          <xdr:nvSpPr>
            <xdr:cNvPr id="0" name=""/>
            <xdr:cNvSpPr>
              <a:spLocks noTextEdit="1"/>
            </xdr:cNvSpPr>
          </xdr:nvSpPr>
          <xdr:spPr>
            <a:xfrm>
              <a:off x="0" y="1242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3352800</xdr:colOff>
      <xdr:row>6</xdr:row>
      <xdr:rowOff>121920</xdr:rowOff>
    </xdr:from>
    <xdr:to>
      <xdr:col>3</xdr:col>
      <xdr:colOff>1691640</xdr:colOff>
      <xdr:row>20</xdr:row>
      <xdr:rowOff>142875</xdr:rowOff>
    </xdr:to>
    <mc:AlternateContent xmlns:mc="http://schemas.openxmlformats.org/markup-compatibility/2006">
      <mc:Choice xmlns:a14="http://schemas.microsoft.com/office/drawing/2010/main" Requires="a14">
        <xdr:graphicFrame macro="">
          <xdr:nvGraphicFramePr>
            <xdr:cNvPr id="16" name="MONTH">
              <a:extLst>
                <a:ext uri="{FF2B5EF4-FFF2-40B4-BE49-F238E27FC236}">
                  <a16:creationId xmlns:a16="http://schemas.microsoft.com/office/drawing/2014/main" id="{B0E0DE12-6D88-2259-81C1-87346869762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269480" y="12192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184.372612037034" backgroundQuery="1" createdVersion="8" refreshedVersion="8" minRefreshableVersion="3" recordCount="0" supportSubquery="1" supportAdvancedDrill="1" xr:uid="{AAF12CB3-5FDC-4526-B1A8-4614222419A2}">
  <cacheSource type="external" connectionId="3"/>
  <cacheFields count="4">
    <cacheField name="[dashboard_performance].[AIRLINE].[AIRLINE]" caption="AIRLINE" numFmtId="0" hierarchy="2" level="1">
      <sharedItems count="1">
        <s v="MQ"/>
      </sharedItems>
    </cacheField>
    <cacheField name="[Measures].[Average of AVG_DEP_DELAY]" caption="Average of AVG_DEP_DELAY" numFmtId="0" hierarchy="16" level="32767"/>
    <cacheField name="[Measures].[Average of DELAY_RATE_PCT]" caption="Average of DELAY_RATE_PCT" numFmtId="0" hierarchy="18" level="32767"/>
    <cacheField name="[Measures].[Sum of TOTAL_FLIGHTS]" caption="Sum of TOTAL_FLIGHTS" numFmtId="0" hierarchy="19" level="32767"/>
  </cacheFields>
  <cacheHierarchies count="20">
    <cacheHierarchy uniqueName="[dashboard_performance].[MONTH]" caption="MONTH" attribute="1" defaultMemberUniqueName="[dashboard_performance].[MONTH].[All]" allUniqueName="[dashboard_performance].[MONTH].[All]" dimensionUniqueName="[dashboard_performance]" displayFolder="" count="2" memberValueDatatype="20" unbalanced="0"/>
    <cacheHierarchy uniqueName="[dashboard_performance].[DAY_OF_WEEK]" caption="DAY_OF_WEEK" attribute="1" defaultMemberUniqueName="[dashboard_performance].[DAY_OF_WEEK].[All]" allUniqueName="[dashboard_performance].[DAY_OF_WEEK].[All]" dimensionUniqueName="[dashboard_performance]" displayFolder="" count="2" memberValueDatatype="20" unbalanced="0"/>
    <cacheHierarchy uniqueName="[dashboard_performance].[AIRLINE]" caption="AIRLINE" attribute="1" defaultMemberUniqueName="[dashboard_performance].[AIRLINE].[All]" allUniqueName="[dashboard_performance].[AIRLINE].[All]" dimensionUniqueName="[dashboard_performance]" displayFolder="" count="2" memberValueDatatype="130" unbalanced="0">
      <fieldsUsage count="2">
        <fieldUsage x="-1"/>
        <fieldUsage x="0"/>
      </fieldsUsage>
    </cacheHierarchy>
    <cacheHierarchy uniqueName="[dashboard_performance].[TOTAL_FLIGHTS]" caption="TOTAL_FLIGHTS" attribute="1" defaultMemberUniqueName="[dashboard_performance].[TOTAL_FLIGHTS].[All]" allUniqueName="[dashboard_performance].[TOTAL_FLIGHTS].[All]" dimensionUniqueName="[dashboard_performance]" displayFolder="" count="2" memberValueDatatype="20" unbalanced="0"/>
    <cacheHierarchy uniqueName="[dashboard_performance].[AVG_DEP_DELAY]" caption="AVG_DEP_DELAY" attribute="1" defaultMemberUniqueName="[dashboard_performance].[AVG_DEP_DELAY].[All]" allUniqueName="[dashboard_performance].[AVG_DEP_DELAY].[All]" dimensionUniqueName="[dashboard_performance]" displayFolder="" count="2" memberValueDatatype="5" unbalanced="0"/>
    <cacheHierarchy uniqueName="[dashboard_performance].[DELAY_RATE_PCT]" caption="DELAY_RATE_PCT" attribute="1" defaultMemberUniqueName="[dashboard_performance].[DELAY_RATE_PCT].[All]" allUniqueName="[dashboard_performance].[DELAY_RATE_PCT].[All]" dimensionUniqueName="[dashboard_performance]" displayFolder="" count="2" memberValueDatatype="5" unbalanced="0"/>
    <cacheHierarchy uniqueName="[dashboard_performance].[Day Name]" caption="Day Name" attribute="1" defaultMemberUniqueName="[dashboard_performance].[Day Name].[All]" allUniqueName="[dashboard_performance].[Day Name].[All]" dimensionUniqueName="[dashboard_performance]" displayFolder="" count="2" memberValueDatatype="130" unbalanced="0"/>
    <cacheHierarchy uniqueName="[dashboard_routes].[ORIGIN_AIRPORT]" caption="ORIGIN_AIRPORT" attribute="1" defaultMemberUniqueName="[dashboard_routes].[ORIGIN_AIRPORT].[All]" allUniqueName="[dashboard_routes].[ORIGIN_AIRPORT].[All]" dimensionUniqueName="[dashboard_routes]" displayFolder="" count="2" memberValueDatatype="130" unbalanced="0"/>
    <cacheHierarchy uniqueName="[dashboard_routes].[DESTINATION_AIRPORT]" caption="DESTINATION_AIRPORT" attribute="1" defaultMemberUniqueName="[dashboard_routes].[DESTINATION_AIRPORT].[All]" allUniqueName="[dashboard_routes].[DESTINATION_AIRPORT].[All]" dimensionUniqueName="[dashboard_routes]" displayFolder="" count="2" memberValueDatatype="130" unbalanced="0"/>
    <cacheHierarchy uniqueName="[dashboard_routes].[TOTAL_FLIGHTS]" caption="TOTAL_FLIGHTS" attribute="1" defaultMemberUniqueName="[dashboard_routes].[TOTAL_FLIGHTS].[All]" allUniqueName="[dashboard_routes].[TOTAL_FLIGHTS].[All]" dimensionUniqueName="[dashboard_routes]" displayFolder="" count="2" memberValueDatatype="20" unbalanced="0"/>
    <cacheHierarchy uniqueName="[dashboard_routes].[AVG_DEP_DELAY]" caption="AVG_DEP_DELAY" attribute="1" defaultMemberUniqueName="[dashboard_routes].[AVG_DEP_DELAY].[All]" allUniqueName="[dashboard_routes].[AVG_DEP_DELAY].[All]" dimensionUniqueName="[dashboard_routes]" displayFolder="" count="2" memberValueDatatype="5" unbalanced="0"/>
    <cacheHierarchy uniqueName="[dashboard_routes].[AVG_ARR_DELAY]" caption="AVG_ARR_DELAY" attribute="1" defaultMemberUniqueName="[dashboard_routes].[AVG_ARR_DELAY].[All]" allUniqueName="[dashboard_routes].[AVG_ARR_DELAY].[All]" dimensionUniqueName="[dashboard_routes]" displayFolder="" count="2" memberValueDatatype="5" unbalanced="0"/>
    <cacheHierarchy uniqueName="[Measures].[__XL_Count dashboard_performance]" caption="__XL_Count dashboard_performance" measure="1" displayFolder="" measureGroup="dashboard_performance" count="0" hidden="1"/>
    <cacheHierarchy uniqueName="[Measures].[__XL_Count dashboard_routes]" caption="__XL_Count dashboard_routes" measure="1" displayFolder="" measureGroup="dashboard_routes" count="0" hidden="1"/>
    <cacheHierarchy uniqueName="[Measures].[__No measures defined]" caption="__No measures defined" measure="1" displayFolder="" count="0" hidden="1"/>
    <cacheHierarchy uniqueName="[Measures].[Sum of AVG_DEP_DELAY]" caption="Sum of AVG_DEP_DELAY" measure="1" displayFolder="" measureGroup="dashboard_performance" count="0" hidden="1">
      <extLst>
        <ext xmlns:x15="http://schemas.microsoft.com/office/spreadsheetml/2010/11/main" uri="{B97F6D7D-B522-45F9-BDA1-12C45D357490}">
          <x15:cacheHierarchy aggregatedColumn="4"/>
        </ext>
      </extLst>
    </cacheHierarchy>
    <cacheHierarchy uniqueName="[Measures].[Average of AVG_DEP_DELAY]" caption="Average of AVG_DEP_DELAY" measure="1" displayFolder="" measureGroup="dashboard_performanc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DELAY_RATE_PCT]" caption="Sum of DELAY_RATE_PCT" measure="1" displayFolder="" measureGroup="dashboard_performance" count="0" hidden="1">
      <extLst>
        <ext xmlns:x15="http://schemas.microsoft.com/office/spreadsheetml/2010/11/main" uri="{B97F6D7D-B522-45F9-BDA1-12C45D357490}">
          <x15:cacheHierarchy aggregatedColumn="5"/>
        </ext>
      </extLst>
    </cacheHierarchy>
    <cacheHierarchy uniqueName="[Measures].[Average of DELAY_RATE_PCT]" caption="Average of DELAY_RATE_PCT" measure="1" displayFolder="" measureGroup="dashboard_performance"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TOTAL_FLIGHTS]" caption="Sum of TOTAL_FLIGHTS" measure="1" displayFolder="" measureGroup="dashboard_performance" count="0" oneField="1" hidden="1">
      <fieldsUsage count="1">
        <fieldUsage x="3"/>
      </fieldsUsage>
      <extLst>
        <ext xmlns:x15="http://schemas.microsoft.com/office/spreadsheetml/2010/11/main" uri="{B97F6D7D-B522-45F9-BDA1-12C45D357490}">
          <x15:cacheHierarchy aggregatedColumn="3"/>
        </ext>
      </extLst>
    </cacheHierarchy>
  </cacheHierarchies>
  <kpis count="0"/>
  <dimensions count="3">
    <dimension name="dashboard_performance" uniqueName="[dashboard_performance]" caption="dashboard_performance"/>
    <dimension name="dashboard_routes" uniqueName="[dashboard_routes]" caption="dashboard_routes"/>
    <dimension measure="1" name="Measures" uniqueName="[Measures]" caption="Measures"/>
  </dimensions>
  <measureGroups count="2">
    <measureGroup name="dashboard_performance" caption="dashboard_performance"/>
    <measureGroup name="dashboard_routes" caption="dashboard_rout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184.372613310188" backgroundQuery="1" createdVersion="8" refreshedVersion="8" minRefreshableVersion="3" recordCount="0" supportSubquery="1" supportAdvancedDrill="1" xr:uid="{5FB6E076-7986-4F0C-8B65-11ABFDE1CD4A}">
  <cacheSource type="external" connectionId="3"/>
  <cacheFields count="3">
    <cacheField name="[dashboard_performance].[Day Name].[Day Name]" caption="Day Name" numFmtId="0" hierarchy="6" level="1">
      <sharedItems count="7">
        <s v="Friday"/>
        <s v="Monday"/>
        <s v="Saturday"/>
        <s v="Sunday"/>
        <s v="Thursday"/>
        <s v="Tuesday"/>
        <s v="Wednesday"/>
      </sharedItems>
    </cacheField>
    <cacheField name="[Measures].[Average of DELAY_RATE_PCT]" caption="Average of DELAY_RATE_PCT" numFmtId="0" hierarchy="18" level="32767"/>
    <cacheField name="[dashboard_performance].[AIRLINE].[AIRLINE]" caption="AIRLINE" numFmtId="0" hierarchy="2" level="1">
      <sharedItems containsSemiMixedTypes="0" containsNonDate="0" containsString="0"/>
    </cacheField>
  </cacheFields>
  <cacheHierarchies count="20">
    <cacheHierarchy uniqueName="[dashboard_performance].[MONTH]" caption="MONTH" attribute="1" defaultMemberUniqueName="[dashboard_performance].[MONTH].[All]" allUniqueName="[dashboard_performance].[MONTH].[All]" dimensionUniqueName="[dashboard_performance]" displayFolder="" count="2" memberValueDatatype="20" unbalanced="0"/>
    <cacheHierarchy uniqueName="[dashboard_performance].[DAY_OF_WEEK]" caption="DAY_OF_WEEK" attribute="1" defaultMemberUniqueName="[dashboard_performance].[DAY_OF_WEEK].[All]" allUniqueName="[dashboard_performance].[DAY_OF_WEEK].[All]" dimensionUniqueName="[dashboard_performance]" displayFolder="" count="0" memberValueDatatype="20" unbalanced="0"/>
    <cacheHierarchy uniqueName="[dashboard_performance].[AIRLINE]" caption="AIRLINE" attribute="1" defaultMemberUniqueName="[dashboard_performance].[AIRLINE].[All]" allUniqueName="[dashboard_performance].[AIRLINE].[All]" dimensionUniqueName="[dashboard_performance]" displayFolder="" count="2" memberValueDatatype="130" unbalanced="0">
      <fieldsUsage count="2">
        <fieldUsage x="-1"/>
        <fieldUsage x="2"/>
      </fieldsUsage>
    </cacheHierarchy>
    <cacheHierarchy uniqueName="[dashboard_performance].[TOTAL_FLIGHTS]" caption="TOTAL_FLIGHTS" attribute="1" defaultMemberUniqueName="[dashboard_performance].[TOTAL_FLIGHTS].[All]" allUniqueName="[dashboard_performance].[TOTAL_FLIGHTS].[All]" dimensionUniqueName="[dashboard_performance]" displayFolder="" count="0" memberValueDatatype="20" unbalanced="0"/>
    <cacheHierarchy uniqueName="[dashboard_performance].[AVG_DEP_DELAY]" caption="AVG_DEP_DELAY" attribute="1" defaultMemberUniqueName="[dashboard_performance].[AVG_DEP_DELAY].[All]" allUniqueName="[dashboard_performance].[AVG_DEP_DELAY].[All]" dimensionUniqueName="[dashboard_performance]" displayFolder="" count="0" memberValueDatatype="5" unbalanced="0"/>
    <cacheHierarchy uniqueName="[dashboard_performance].[DELAY_RATE_PCT]" caption="DELAY_RATE_PCT" attribute="1" defaultMemberUniqueName="[dashboard_performance].[DELAY_RATE_PCT].[All]" allUniqueName="[dashboard_performance].[DELAY_RATE_PCT].[All]" dimensionUniqueName="[dashboard_performance]" displayFolder="" count="0" memberValueDatatype="5" unbalanced="0"/>
    <cacheHierarchy uniqueName="[dashboard_performance].[Day Name]" caption="Day Name" attribute="1" defaultMemberUniqueName="[dashboard_performance].[Day Name].[All]" allUniqueName="[dashboard_performance].[Day Name].[All]" dimensionUniqueName="[dashboard_performance]" displayFolder="" count="2" memberValueDatatype="130" unbalanced="0">
      <fieldsUsage count="2">
        <fieldUsage x="-1"/>
        <fieldUsage x="0"/>
      </fieldsUsage>
    </cacheHierarchy>
    <cacheHierarchy uniqueName="[dashboard_routes].[ORIGIN_AIRPORT]" caption="ORIGIN_AIRPORT" attribute="1" defaultMemberUniqueName="[dashboard_routes].[ORIGIN_AIRPORT].[All]" allUniqueName="[dashboard_routes].[ORIGIN_AIRPORT].[All]" dimensionUniqueName="[dashboard_routes]" displayFolder="" count="0" memberValueDatatype="130" unbalanced="0"/>
    <cacheHierarchy uniqueName="[dashboard_routes].[DESTINATION_AIRPORT]" caption="DESTINATION_AIRPORT" attribute="1" defaultMemberUniqueName="[dashboard_routes].[DESTINATION_AIRPORT].[All]" allUniqueName="[dashboard_routes].[DESTINATION_AIRPORT].[All]" dimensionUniqueName="[dashboard_routes]" displayFolder="" count="0" memberValueDatatype="130" unbalanced="0"/>
    <cacheHierarchy uniqueName="[dashboard_routes].[TOTAL_FLIGHTS]" caption="TOTAL_FLIGHTS" attribute="1" defaultMemberUniqueName="[dashboard_routes].[TOTAL_FLIGHTS].[All]" allUniqueName="[dashboard_routes].[TOTAL_FLIGHTS].[All]" dimensionUniqueName="[dashboard_routes]" displayFolder="" count="0" memberValueDatatype="20" unbalanced="0"/>
    <cacheHierarchy uniqueName="[dashboard_routes].[AVG_DEP_DELAY]" caption="AVG_DEP_DELAY" attribute="1" defaultMemberUniqueName="[dashboard_routes].[AVG_DEP_DELAY].[All]" allUniqueName="[dashboard_routes].[AVG_DEP_DELAY].[All]" dimensionUniqueName="[dashboard_routes]" displayFolder="" count="0" memberValueDatatype="5" unbalanced="0"/>
    <cacheHierarchy uniqueName="[dashboard_routes].[AVG_ARR_DELAY]" caption="AVG_ARR_DELAY" attribute="1" defaultMemberUniqueName="[dashboard_routes].[AVG_ARR_DELAY].[All]" allUniqueName="[dashboard_routes].[AVG_ARR_DELAY].[All]" dimensionUniqueName="[dashboard_routes]" displayFolder="" count="0" memberValueDatatype="5" unbalanced="0"/>
    <cacheHierarchy uniqueName="[Measures].[__XL_Count dashboard_performance]" caption="__XL_Count dashboard_performance" measure="1" displayFolder="" measureGroup="dashboard_performance" count="0" hidden="1"/>
    <cacheHierarchy uniqueName="[Measures].[__XL_Count dashboard_routes]" caption="__XL_Count dashboard_routes" measure="1" displayFolder="" measureGroup="dashboard_routes" count="0" hidden="1"/>
    <cacheHierarchy uniqueName="[Measures].[__No measures defined]" caption="__No measures defined" measure="1" displayFolder="" count="0" hidden="1"/>
    <cacheHierarchy uniqueName="[Measures].[Sum of AVG_DEP_DELAY]" caption="Sum of AVG_DEP_DELAY" measure="1" displayFolder="" measureGroup="dashboard_performance" count="0" hidden="1">
      <extLst>
        <ext xmlns:x15="http://schemas.microsoft.com/office/spreadsheetml/2010/11/main" uri="{B97F6D7D-B522-45F9-BDA1-12C45D357490}">
          <x15:cacheHierarchy aggregatedColumn="4"/>
        </ext>
      </extLst>
    </cacheHierarchy>
    <cacheHierarchy uniqueName="[Measures].[Average of AVG_DEP_DELAY]" caption="Average of AVG_DEP_DELAY" measure="1" displayFolder="" measureGroup="dashboard_performance" count="0" hidden="1">
      <extLst>
        <ext xmlns:x15="http://schemas.microsoft.com/office/spreadsheetml/2010/11/main" uri="{B97F6D7D-B522-45F9-BDA1-12C45D357490}">
          <x15:cacheHierarchy aggregatedColumn="4"/>
        </ext>
      </extLst>
    </cacheHierarchy>
    <cacheHierarchy uniqueName="[Measures].[Sum of DELAY_RATE_PCT]" caption="Sum of DELAY_RATE_PCT" measure="1" displayFolder="" measureGroup="dashboard_performance" count="0" hidden="1">
      <extLst>
        <ext xmlns:x15="http://schemas.microsoft.com/office/spreadsheetml/2010/11/main" uri="{B97F6D7D-B522-45F9-BDA1-12C45D357490}">
          <x15:cacheHierarchy aggregatedColumn="5"/>
        </ext>
      </extLst>
    </cacheHierarchy>
    <cacheHierarchy uniqueName="[Measures].[Average of DELAY_RATE_PCT]" caption="Average of DELAY_RATE_PCT" measure="1" displayFolder="" measureGroup="dashboard_performanc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TOTAL_FLIGHTS]" caption="Sum of TOTAL_FLIGHTS" measure="1" displayFolder="" measureGroup="dashboard_performance" count="0" hidden="1">
      <extLst>
        <ext xmlns:x15="http://schemas.microsoft.com/office/spreadsheetml/2010/11/main" uri="{B97F6D7D-B522-45F9-BDA1-12C45D357490}">
          <x15:cacheHierarchy aggregatedColumn="3"/>
        </ext>
      </extLst>
    </cacheHierarchy>
  </cacheHierarchies>
  <kpis count="0"/>
  <dimensions count="3">
    <dimension name="dashboard_performance" uniqueName="[dashboard_performance]" caption="dashboard_performance"/>
    <dimension name="dashboard_routes" uniqueName="[dashboard_routes]" caption="dashboard_routes"/>
    <dimension measure="1" name="Measures" uniqueName="[Measures]" caption="Measures"/>
  </dimensions>
  <measureGroups count="2">
    <measureGroup name="dashboard_performance" caption="dashboard_performance"/>
    <measureGroup name="dashboard_routes" caption="dashboard_route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184.370091550925" backgroundQuery="1" createdVersion="3" refreshedVersion="8" minRefreshableVersion="3" recordCount="0" supportSubquery="1" supportAdvancedDrill="1" xr:uid="{0934B818-2F37-4CD7-9384-BC1465BF7FA6}">
  <cacheSource type="external" connectionId="3">
    <extLst>
      <ext xmlns:x14="http://schemas.microsoft.com/office/spreadsheetml/2009/9/main" uri="{F057638F-6D5F-4e77-A914-E7F072B9BCA8}">
        <x14:sourceConnection name="ThisWorkbookDataModel"/>
      </ext>
    </extLst>
  </cacheSource>
  <cacheFields count="0"/>
  <cacheHierarchies count="20">
    <cacheHierarchy uniqueName="[dashboard_performance].[MONTH]" caption="MONTH" attribute="1" defaultMemberUniqueName="[dashboard_performance].[MONTH].[All]" allUniqueName="[dashboard_performance].[MONTH].[All]" dimensionUniqueName="[dashboard_performance]" displayFolder="" count="2" memberValueDatatype="20" unbalanced="0"/>
    <cacheHierarchy uniqueName="[dashboard_performance].[DAY_OF_WEEK]" caption="DAY_OF_WEEK" attribute="1" defaultMemberUniqueName="[dashboard_performance].[DAY_OF_WEEK].[All]" allUniqueName="[dashboard_performance].[DAY_OF_WEEK].[All]" dimensionUniqueName="[dashboard_performance]" displayFolder="" count="0" memberValueDatatype="20" unbalanced="0"/>
    <cacheHierarchy uniqueName="[dashboard_performance].[AIRLINE]" caption="AIRLINE" attribute="1" defaultMemberUniqueName="[dashboard_performance].[AIRLINE].[All]" allUniqueName="[dashboard_performance].[AIRLINE].[All]" dimensionUniqueName="[dashboard_performance]" displayFolder="" count="2" memberValueDatatype="130" unbalanced="0"/>
    <cacheHierarchy uniqueName="[dashboard_performance].[TOTAL_FLIGHTS]" caption="TOTAL_FLIGHTS" attribute="1" defaultMemberUniqueName="[dashboard_performance].[TOTAL_FLIGHTS].[All]" allUniqueName="[dashboard_performance].[TOTAL_FLIGHTS].[All]" dimensionUniqueName="[dashboard_performance]" displayFolder="" count="0" memberValueDatatype="20" unbalanced="0"/>
    <cacheHierarchy uniqueName="[dashboard_performance].[AVG_DEP_DELAY]" caption="AVG_DEP_DELAY" attribute="1" defaultMemberUniqueName="[dashboard_performance].[AVG_DEP_DELAY].[All]" allUniqueName="[dashboard_performance].[AVG_DEP_DELAY].[All]" dimensionUniqueName="[dashboard_performance]" displayFolder="" count="0" memberValueDatatype="5" unbalanced="0"/>
    <cacheHierarchy uniqueName="[dashboard_performance].[DELAY_RATE_PCT]" caption="DELAY_RATE_PCT" attribute="1" defaultMemberUniqueName="[dashboard_performance].[DELAY_RATE_PCT].[All]" allUniqueName="[dashboard_performance].[DELAY_RATE_PCT].[All]" dimensionUniqueName="[dashboard_performance]" displayFolder="" count="0" memberValueDatatype="5" unbalanced="0"/>
    <cacheHierarchy uniqueName="[dashboard_performance].[Day Name]" caption="Day Name" attribute="1" defaultMemberUniqueName="[dashboard_performance].[Day Name].[All]" allUniqueName="[dashboard_performance].[Day Name].[All]" dimensionUniqueName="[dashboard_performance]" displayFolder="" count="0" memberValueDatatype="130" unbalanced="0"/>
    <cacheHierarchy uniqueName="[dashboard_routes].[ORIGIN_AIRPORT]" caption="ORIGIN_AIRPORT" attribute="1" defaultMemberUniqueName="[dashboard_routes].[ORIGIN_AIRPORT].[All]" allUniqueName="[dashboard_routes].[ORIGIN_AIRPORT].[All]" dimensionUniqueName="[dashboard_routes]" displayFolder="" count="0" memberValueDatatype="130" unbalanced="0"/>
    <cacheHierarchy uniqueName="[dashboard_routes].[DESTINATION_AIRPORT]" caption="DESTINATION_AIRPORT" attribute="1" defaultMemberUniqueName="[dashboard_routes].[DESTINATION_AIRPORT].[All]" allUniqueName="[dashboard_routes].[DESTINATION_AIRPORT].[All]" dimensionUniqueName="[dashboard_routes]" displayFolder="" count="0" memberValueDatatype="130" unbalanced="0"/>
    <cacheHierarchy uniqueName="[dashboard_routes].[TOTAL_FLIGHTS]" caption="TOTAL_FLIGHTS" attribute="1" defaultMemberUniqueName="[dashboard_routes].[TOTAL_FLIGHTS].[All]" allUniqueName="[dashboard_routes].[TOTAL_FLIGHTS].[All]" dimensionUniqueName="[dashboard_routes]" displayFolder="" count="0" memberValueDatatype="20" unbalanced="0"/>
    <cacheHierarchy uniqueName="[dashboard_routes].[AVG_DEP_DELAY]" caption="AVG_DEP_DELAY" attribute="1" defaultMemberUniqueName="[dashboard_routes].[AVG_DEP_DELAY].[All]" allUniqueName="[dashboard_routes].[AVG_DEP_DELAY].[All]" dimensionUniqueName="[dashboard_routes]" displayFolder="" count="0" memberValueDatatype="5" unbalanced="0"/>
    <cacheHierarchy uniqueName="[dashboard_routes].[AVG_ARR_DELAY]" caption="AVG_ARR_DELAY" attribute="1" defaultMemberUniqueName="[dashboard_routes].[AVG_ARR_DELAY].[All]" allUniqueName="[dashboard_routes].[AVG_ARR_DELAY].[All]" dimensionUniqueName="[dashboard_routes]" displayFolder="" count="0" memberValueDatatype="5" unbalanced="0"/>
    <cacheHierarchy uniqueName="[Measures].[__XL_Count dashboard_performance]" caption="__XL_Count dashboard_performance" measure="1" displayFolder="" measureGroup="dashboard_performance" count="0" hidden="1"/>
    <cacheHierarchy uniqueName="[Measures].[__XL_Count dashboard_routes]" caption="__XL_Count dashboard_routes" measure="1" displayFolder="" measureGroup="dashboard_routes" count="0" hidden="1"/>
    <cacheHierarchy uniqueName="[Measures].[__No measures defined]" caption="__No measures defined" measure="1" displayFolder="" count="0" hidden="1"/>
    <cacheHierarchy uniqueName="[Measures].[Sum of AVG_DEP_DELAY]" caption="Sum of AVG_DEP_DELAY" measure="1" displayFolder="" measureGroup="dashboard_performance" count="0" hidden="1">
      <extLst>
        <ext xmlns:x15="http://schemas.microsoft.com/office/spreadsheetml/2010/11/main" uri="{B97F6D7D-B522-45F9-BDA1-12C45D357490}">
          <x15:cacheHierarchy aggregatedColumn="4"/>
        </ext>
      </extLst>
    </cacheHierarchy>
    <cacheHierarchy uniqueName="[Measures].[Average of AVG_DEP_DELAY]" caption="Average of AVG_DEP_DELAY" measure="1" displayFolder="" measureGroup="dashboard_performance" count="0" hidden="1">
      <extLst>
        <ext xmlns:x15="http://schemas.microsoft.com/office/spreadsheetml/2010/11/main" uri="{B97F6D7D-B522-45F9-BDA1-12C45D357490}">
          <x15:cacheHierarchy aggregatedColumn="4"/>
        </ext>
      </extLst>
    </cacheHierarchy>
    <cacheHierarchy uniqueName="[Measures].[Sum of DELAY_RATE_PCT]" caption="Sum of DELAY_RATE_PCT" measure="1" displayFolder="" measureGroup="dashboard_performance" count="0" hidden="1">
      <extLst>
        <ext xmlns:x15="http://schemas.microsoft.com/office/spreadsheetml/2010/11/main" uri="{B97F6D7D-B522-45F9-BDA1-12C45D357490}">
          <x15:cacheHierarchy aggregatedColumn="5"/>
        </ext>
      </extLst>
    </cacheHierarchy>
    <cacheHierarchy uniqueName="[Measures].[Average of DELAY_RATE_PCT]" caption="Average of DELAY_RATE_PCT" measure="1" displayFolder="" measureGroup="dashboard_performance" count="0" hidden="1">
      <extLst>
        <ext xmlns:x15="http://schemas.microsoft.com/office/spreadsheetml/2010/11/main" uri="{B97F6D7D-B522-45F9-BDA1-12C45D357490}">
          <x15:cacheHierarchy aggregatedColumn="5"/>
        </ext>
      </extLst>
    </cacheHierarchy>
    <cacheHierarchy uniqueName="[Measures].[Sum of TOTAL_FLIGHTS]" caption="Sum of TOTAL_FLIGHTS" measure="1" displayFolder="" measureGroup="dashboard_performance"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3887907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B3A202-4886-4FF1-B1C6-F6B387B19A7A}" name="PivotTable2"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11" firstHeaderRow="1" firstDataRow="1" firstDataCol="1"/>
  <pivotFields count="3">
    <pivotField axis="axisRow" allDrilled="1" subtotalTop="0" showAll="0"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DELAY_RATE_PCT" fld="1"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0">
    <pivotHierarchy multipleItemSelectionAllowed="1" dragToData="1"/>
    <pivotHierarchy dragToData="1"/>
    <pivotHierarchy multipleItemSelectionAllowed="1" dragToData="1">
      <members count="1" level="1">
        <member name="[dashboard_performance].[AIRLINE].&amp;[MQ]"/>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ELAY_RATE_PCT"/>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shboard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D08941-6CFA-434D-9F7A-B10B296FCDB7}" name="PivotTable1"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D5" firstHeaderRow="0" firstDataRow="1" firstDataCol="1"/>
  <pivotFields count="4">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s>
  <rowFields count="1">
    <field x="0"/>
  </rowFields>
  <rowItems count="2">
    <i>
      <x/>
    </i>
    <i t="grand">
      <x/>
    </i>
  </rowItems>
  <colFields count="1">
    <field x="-2"/>
  </colFields>
  <colItems count="3">
    <i>
      <x/>
    </i>
    <i i="1">
      <x v="1"/>
    </i>
    <i i="2">
      <x v="2"/>
    </i>
  </colItems>
  <dataFields count="3">
    <dataField name="Average of AVG_DEP_DELAY" fld="1" subtotal="average" baseField="0" baseItem="0" numFmtId="164"/>
    <dataField name="Average of DELAY_RATE_PCT" fld="2" subtotal="average" baseField="0" baseItem="9" numFmtId="164"/>
    <dataField name="Sum of TOTAL_FLIGHTS" fld="3"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2"/>
          </reference>
        </references>
      </pivotArea>
    </chartFormat>
  </chartFormats>
  <pivotHierarchies count="20">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AVG_DEP_DELAY"/>
    <pivotHierarchy dragToData="1"/>
    <pivotHierarchy dragToData="1" caption="Average of DELAY_RATE_PCT"/>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shboard_performanc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 xr10:uid="{7E4F20B8-FAAF-4849-AA43-A3A937FEE1AC}" sourceName="[dashboard_performance].[AIRLINE]">
  <pivotTables>
    <pivotTable tabId="2" name="PivotTable1"/>
    <pivotTable tabId="2" name="PivotTable2"/>
  </pivotTables>
  <data>
    <olap pivotCacheId="1388790705">
      <levels count="2">
        <level uniqueName="[dashboard_performance].[AIRLINE].[(All)]" sourceCaption="(All)" count="0"/>
        <level uniqueName="[dashboard_performance].[AIRLINE].[AIRLINE]" sourceCaption="AIRLINE" count="14">
          <ranges>
            <range startItem="0">
              <i n="[dashboard_performance].[AIRLINE].&amp;[AA]" c="AA"/>
              <i n="[dashboard_performance].[AIRLINE].&amp;[AS]" c="AS"/>
              <i n="[dashboard_performance].[AIRLINE].&amp;[B6]" c="B6"/>
              <i n="[dashboard_performance].[AIRLINE].&amp;[DL]" c="DL"/>
              <i n="[dashboard_performance].[AIRLINE].&amp;[EV]" c="EV"/>
              <i n="[dashboard_performance].[AIRLINE].&amp;[F9]" c="F9"/>
              <i n="[dashboard_performance].[AIRLINE].&amp;[HA]" c="HA"/>
              <i n="[dashboard_performance].[AIRLINE].&amp;[MQ]" c="MQ"/>
              <i n="[dashboard_performance].[AIRLINE].&amp;[NK]" c="NK"/>
              <i n="[dashboard_performance].[AIRLINE].&amp;[OO]" c="OO"/>
              <i n="[dashboard_performance].[AIRLINE].&amp;[UA]" c="UA"/>
              <i n="[dashboard_performance].[AIRLINE].&amp;[US]" c="US"/>
              <i n="[dashboard_performance].[AIRLINE].&amp;[VX]" c="VX"/>
              <i n="[dashboard_performance].[AIRLINE].&amp;[WN]" c="WN"/>
            </range>
          </ranges>
        </level>
      </levels>
      <selections count="1">
        <selection n="[dashboard_performance].[AIRLINE].&amp;[MQ]"/>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F3DBE62-3222-493D-8F02-1FC00DF9E728}" sourceName="[dashboard_performance].[MONTH]">
  <pivotTables>
    <pivotTable tabId="2" name="PivotTable1"/>
    <pivotTable tabId="2" name="PivotTable2"/>
  </pivotTables>
  <data>
    <olap pivotCacheId="1388790705">
      <levels count="2">
        <level uniqueName="[dashboard_performance].[MONTH].[(All)]" sourceCaption="(All)" count="0"/>
        <level uniqueName="[dashboard_performance].[MONTH].[MONTH]" sourceCaption="MONTH" count="2">
          <ranges>
            <range startItem="0">
              <i n="[dashboard_performance].[MONTH].&amp;[1]" c="1"/>
              <i n="[dashboard_performance].[MONTH].&amp;[2]" c="2"/>
            </range>
          </ranges>
        </level>
      </levels>
      <selections count="1">
        <selection n="[dashboard_performance].[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RLINE" xr10:uid="{8BAFC843-5E2A-4227-B4F7-E01AB54B9A6D}" cache="Slicer_AIRLINE" caption="AIRLINE" startItem="6" level="1" rowHeight="247650"/>
  <slicer name="MONTH" xr10:uid="{54EB0D25-DB8C-490E-88F0-C6CF77602DBC}" cache="Slicer_MONTH" caption="MONTH"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BD50A-D26A-4A76-A84B-7C83347F7F8A}">
  <dimension ref="A3:F11"/>
  <sheetViews>
    <sheetView workbookViewId="0">
      <selection activeCell="F7" sqref="F7"/>
    </sheetView>
  </sheetViews>
  <sheetFormatPr defaultRowHeight="14.4" x14ac:dyDescent="0.3"/>
  <cols>
    <col min="1" max="1" width="12.44140625" bestFit="1" customWidth="1"/>
    <col min="2" max="2" width="23.77734375" bestFit="1" customWidth="1"/>
    <col min="3" max="3" width="24.21875" bestFit="1" customWidth="1"/>
    <col min="4" max="4" width="20.21875" bestFit="1" customWidth="1"/>
    <col min="5" max="5" width="12.44140625" bestFit="1" customWidth="1"/>
    <col min="6" max="6" width="24.21875" bestFit="1" customWidth="1"/>
  </cols>
  <sheetData>
    <row r="3" spans="1:6" x14ac:dyDescent="0.3">
      <c r="A3" s="1" t="s">
        <v>0</v>
      </c>
      <c r="B3" t="s">
        <v>3</v>
      </c>
      <c r="C3" t="s">
        <v>11</v>
      </c>
      <c r="D3" t="s">
        <v>13</v>
      </c>
      <c r="E3" s="1" t="s">
        <v>0</v>
      </c>
      <c r="F3" t="s">
        <v>11</v>
      </c>
    </row>
    <row r="4" spans="1:6" x14ac:dyDescent="0.3">
      <c r="A4" s="2" t="s">
        <v>1</v>
      </c>
      <c r="B4" s="4">
        <v>16.956144128853367</v>
      </c>
      <c r="C4" s="4">
        <v>27.179353101156146</v>
      </c>
      <c r="D4" s="3">
        <v>31896</v>
      </c>
      <c r="E4" s="2" t="s">
        <v>5</v>
      </c>
      <c r="F4" s="4">
        <v>32.391996848959295</v>
      </c>
    </row>
    <row r="5" spans="1:6" x14ac:dyDescent="0.3">
      <c r="A5" s="2" t="s">
        <v>2</v>
      </c>
      <c r="B5" s="4">
        <v>16.956144128853367</v>
      </c>
      <c r="C5" s="4">
        <v>27.179353101156146</v>
      </c>
      <c r="D5" s="3">
        <v>31896</v>
      </c>
      <c r="E5" s="2" t="s">
        <v>9</v>
      </c>
      <c r="F5" s="4">
        <v>24.533494175745467</v>
      </c>
    </row>
    <row r="6" spans="1:6" x14ac:dyDescent="0.3">
      <c r="E6" s="2" t="s">
        <v>10</v>
      </c>
      <c r="F6" s="4">
        <v>27.955911823647295</v>
      </c>
    </row>
    <row r="7" spans="1:6" x14ac:dyDescent="0.3">
      <c r="E7" s="2" t="s">
        <v>8</v>
      </c>
      <c r="F7" s="4">
        <v>25.679758308157101</v>
      </c>
    </row>
    <row r="8" spans="1:6" x14ac:dyDescent="0.3">
      <c r="E8" s="2" t="s">
        <v>4</v>
      </c>
      <c r="F8" s="4">
        <v>28.037750688163587</v>
      </c>
    </row>
    <row r="9" spans="1:6" x14ac:dyDescent="0.3">
      <c r="E9" s="2" t="s">
        <v>6</v>
      </c>
      <c r="F9" s="4">
        <v>24.587706146926536</v>
      </c>
    </row>
    <row r="10" spans="1:6" x14ac:dyDescent="0.3">
      <c r="E10" s="2" t="s">
        <v>7</v>
      </c>
      <c r="F10" s="4">
        <v>25.840710997628722</v>
      </c>
    </row>
    <row r="11" spans="1:6" x14ac:dyDescent="0.3">
      <c r="E11" s="2" t="s">
        <v>2</v>
      </c>
      <c r="F11" s="4">
        <v>27.179353101156146</v>
      </c>
    </row>
  </sheetData>
  <pageMargins left="0.7" right="0.7" top="0.75" bottom="0.75" header="0.3" footer="0.3"/>
  <pageSetup paperSize="9" orientation="portrait" horizontalDpi="4294967293" verticalDpi="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34C42-2C9B-4B24-8B1A-60B58F1691C5}">
  <dimension ref="B2:H3"/>
  <sheetViews>
    <sheetView showGridLines="0" tabSelected="1" workbookViewId="0">
      <selection activeCell="H9" sqref="H9"/>
    </sheetView>
  </sheetViews>
  <sheetFormatPr defaultRowHeight="14.4" x14ac:dyDescent="0.3"/>
  <cols>
    <col min="2" max="2" width="48.21875" customWidth="1"/>
    <col min="3" max="3" width="50.88671875" customWidth="1"/>
    <col min="4" max="4" width="51.44140625" customWidth="1"/>
    <col min="7" max="7" width="29.6640625" customWidth="1"/>
    <col min="8" max="8" width="37.77734375" customWidth="1"/>
  </cols>
  <sheetData>
    <row r="2" spans="2:8" x14ac:dyDescent="0.3">
      <c r="B2" t="s">
        <v>12</v>
      </c>
      <c r="D2" t="s">
        <v>14</v>
      </c>
      <c r="H2" t="s">
        <v>15</v>
      </c>
    </row>
    <row r="3" spans="2:8" x14ac:dyDescent="0.3">
      <c r="B3" s="5">
        <f>GETPIVOTDATA("[Measures].[Sum of TOTAL_FLIGHTS]",Data_Pivots!$A$3)</f>
        <v>31896</v>
      </c>
      <c r="D3" s="5">
        <f>GETPIVOTDATA("[Measures].[Average of AVG_DEP_DELAY]",Data_Pivots!$A$3)</f>
        <v>16.956144128853367</v>
      </c>
      <c r="H3">
        <f>GETPIVOTDATA("[Measures].[Average of DELAY_RATE_PCT]",Data_Pivots!$E$3)</f>
        <v>27.179353101156146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91AE4-D046-4F9A-97F6-BDB7839933B8}">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93721A-379E-453C-A44C-C0670237D6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Data_Pivots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Madhushree Senthilkumar</dc:creator>
  <cp:lastModifiedBy>Madhushree Senthilkumar</cp:lastModifiedBy>
  <dcterms:created xsi:type="dcterms:W3CDTF">2026-06-10T16:04:12Z</dcterms:created>
  <dcterms:modified xsi:type="dcterms:W3CDTF">2026-06-11T04:03:44Z</dcterms:modified>
</cp:coreProperties>
</file>